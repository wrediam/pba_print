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mac_01/Documents/Copier/"/>
    </mc:Choice>
  </mc:AlternateContent>
  <xr:revisionPtr revIDLastSave="0" documentId="8_{64313168-E00D-7544-BCD6-30FC43D7A993}" xr6:coauthVersionLast="47" xr6:coauthVersionMax="47" xr10:uidLastSave="{00000000-0000-0000-0000-000000000000}"/>
  <bookViews>
    <workbookView xWindow="5580" yWindow="2300" windowWidth="27640" windowHeight="16940" xr2:uid="{BD64A9D6-ED9E-2F49-89C9-EE08D4B335EF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" i="1" l="1"/>
  <c r="J27" i="1"/>
  <c r="H27" i="1"/>
  <c r="G27" i="1"/>
  <c r="E27" i="1"/>
  <c r="D27" i="1"/>
  <c r="B27" i="1"/>
  <c r="A27" i="1"/>
  <c r="N19" i="1"/>
  <c r="M19" i="1"/>
  <c r="K19" i="1"/>
  <c r="J19" i="1"/>
  <c r="H19" i="1"/>
  <c r="G19" i="1"/>
  <c r="B19" i="1"/>
  <c r="A19" i="1"/>
  <c r="E18" i="1"/>
  <c r="D18" i="1"/>
  <c r="E8" i="1"/>
  <c r="D8" i="1"/>
  <c r="K29" i="1" l="1"/>
  <c r="K28" i="1"/>
  <c r="J29" i="1"/>
  <c r="L29" i="1" s="1"/>
  <c r="J28" i="1"/>
  <c r="L28" i="1" s="1"/>
  <c r="H28" i="1"/>
  <c r="H29" i="1"/>
  <c r="G28" i="1"/>
  <c r="I28" i="1" s="1"/>
  <c r="G29" i="1"/>
  <c r="E28" i="1"/>
  <c r="E29" i="1"/>
  <c r="D28" i="1"/>
  <c r="F28" i="1" s="1"/>
  <c r="D29" i="1"/>
  <c r="F29" i="1" s="1"/>
  <c r="B28" i="1"/>
  <c r="B29" i="1"/>
  <c r="A29" i="1"/>
  <c r="C29" i="1" s="1"/>
  <c r="A28" i="1"/>
  <c r="C28" i="1" s="1"/>
  <c r="N20" i="1"/>
  <c r="N21" i="1"/>
  <c r="M21" i="1"/>
  <c r="P21" i="1" s="1"/>
  <c r="M20" i="1"/>
  <c r="P20" i="1" s="1"/>
  <c r="K21" i="1"/>
  <c r="K20" i="1"/>
  <c r="J20" i="1"/>
  <c r="L20" i="1" s="1"/>
  <c r="J21" i="1"/>
  <c r="H21" i="1"/>
  <c r="H20" i="1"/>
  <c r="G21" i="1"/>
  <c r="I21" i="1" s="1"/>
  <c r="G20" i="1"/>
  <c r="I20" i="1" s="1"/>
  <c r="B21" i="1"/>
  <c r="B20" i="1"/>
  <c r="A21" i="1"/>
  <c r="C21" i="1" s="1"/>
  <c r="A20" i="1"/>
  <c r="C20" i="1" s="1"/>
  <c r="E20" i="1"/>
  <c r="E19" i="1"/>
  <c r="D20" i="1"/>
  <c r="F20" i="1" s="1"/>
  <c r="D19" i="1"/>
  <c r="F19" i="1" s="1"/>
  <c r="E9" i="1"/>
  <c r="E10" i="1"/>
  <c r="D9" i="1"/>
  <c r="F9" i="1" s="1"/>
  <c r="D10" i="1"/>
  <c r="F10" i="1" s="1"/>
  <c r="L21" i="1" l="1"/>
  <c r="I29" i="1"/>
</calcChain>
</file>

<file path=xl/sharedStrings.xml><?xml version="1.0" encoding="utf-8"?>
<sst xmlns="http://schemas.openxmlformats.org/spreadsheetml/2006/main" count="30" uniqueCount="16">
  <si>
    <t>academy</t>
  </si>
  <si>
    <t>AFC</t>
  </si>
  <si>
    <t>Bus</t>
  </si>
  <si>
    <t>church</t>
  </si>
  <si>
    <t>LSBC</t>
  </si>
  <si>
    <t>bw</t>
  </si>
  <si>
    <t>clr</t>
  </si>
  <si>
    <t>Children</t>
  </si>
  <si>
    <t>Missions</t>
  </si>
  <si>
    <t>Youth Dept</t>
  </si>
  <si>
    <t>Security</t>
  </si>
  <si>
    <t>BW</t>
  </si>
  <si>
    <t>CLR</t>
  </si>
  <si>
    <r>
      <t xml:space="preserve">Blue: </t>
    </r>
    <r>
      <rPr>
        <i/>
        <sz val="10"/>
        <color rgb="FF000000"/>
        <rFont val="Helvetica Neue"/>
        <family val="2"/>
      </rPr>
      <t xml:space="preserve"> copies</t>
    </r>
  </si>
  <si>
    <t>Pink: Copier</t>
  </si>
  <si>
    <t>Green: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</si>
</sst>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Helvetica Neue"/>
      <family val="2"/>
      <scheme val="minor"/>
    </font>
    <font>
      <sz val="10"/>
      <color indexed="8"/>
      <name val="Helvetica Neue"/>
      <family val="2"/>
    </font>
    <font>
      <sz val="10"/>
      <color theme="4" tint="-0.249977111117893"/>
      <name val="Helvetica Neue"/>
      <family val="2"/>
    </font>
    <font>
      <sz val="10"/>
      <color theme="9"/>
      <name val="Helvetica Neue"/>
      <family val="2"/>
    </font>
    <font>
      <sz val="10"/>
      <color theme="6" tint="-0.249977111117893"/>
      <name val="Helvetica Neue"/>
      <family val="2"/>
    </font>
    <font>
      <sz val="8"/>
      <color indexed="8"/>
      <name val="Helvetica Neue"/>
      <family val="2"/>
    </font>
    <font>
      <i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8">
    <xf numFmtId="0" fontId="0" fillId="0" borderId="0" xfId="0"/>
    <xf numFmtId="0" fontId="1" fillId="2" borderId="0" xfId="1" applyFill="1">
      <alignment vertical="top" wrapText="1"/>
    </xf>
    <xf numFmtId="0" fontId="1" fillId="0" borderId="0" xfId="1">
      <alignment vertical="top" wrapText="1"/>
    </xf>
    <xf numFmtId="0" fontId="2" fillId="0" borderId="0" xfId="1" applyFont="1">
      <alignment vertical="top" wrapText="1"/>
    </xf>
    <xf numFmtId="0" fontId="1" fillId="0" borderId="0" xfId="1" applyNumberFormat="1">
      <alignment vertical="top" wrapText="1"/>
    </xf>
    <xf numFmtId="0" fontId="3" fillId="0" borderId="0" xfId="1" applyFont="1">
      <alignment vertical="top" wrapText="1"/>
    </xf>
    <xf numFmtId="0" fontId="4" fillId="0" borderId="0" xfId="1" applyFont="1">
      <alignment vertical="top" wrapText="1"/>
    </xf>
    <xf numFmtId="0" fontId="5" fillId="2" borderId="0" xfId="1" applyFont="1" applyFill="1">
      <alignment vertical="top" wrapText="1"/>
    </xf>
  </cellXfs>
  <cellStyles count="2">
    <cellStyle name="Normal" xfId="0" builtinId="0"/>
    <cellStyle name="Normal 2" xfId="1" xr:uid="{5226A2CC-3DAC-EC4E-9827-6B289B32A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7ABB-8643-C840-AEF0-A1801A282256}">
  <dimension ref="A1:T91"/>
  <sheetViews>
    <sheetView tabSelected="1" zoomScale="87" zoomScaleNormal="87" workbookViewId="0">
      <selection activeCell="D27" sqref="D27"/>
    </sheetView>
  </sheetViews>
  <sheetFormatPr baseColWidth="10" defaultRowHeight="13" x14ac:dyDescent="0.2"/>
  <cols>
    <col min="1" max="16384" width="10.7109375" style="2"/>
  </cols>
  <sheetData>
    <row r="1" spans="1:20" ht="16" x14ac:dyDescent="0.2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S1"/>
      <c r="T1"/>
    </row>
    <row r="2" spans="1:20" ht="16" x14ac:dyDescent="0.2">
      <c r="A2" s="2" t="s">
        <v>5</v>
      </c>
      <c r="B2" s="2" t="s">
        <v>6</v>
      </c>
      <c r="D2" s="2" t="s">
        <v>5</v>
      </c>
      <c r="E2" s="2" t="s">
        <v>6</v>
      </c>
      <c r="G2" s="2" t="s">
        <v>5</v>
      </c>
      <c r="H2" s="2" t="s">
        <v>6</v>
      </c>
      <c r="J2" s="2" t="s">
        <v>5</v>
      </c>
      <c r="K2" s="2" t="s">
        <v>6</v>
      </c>
      <c r="M2" s="2" t="s">
        <v>5</v>
      </c>
      <c r="N2" s="2" t="s">
        <v>6</v>
      </c>
      <c r="S2"/>
      <c r="T2"/>
    </row>
    <row r="3" spans="1:20" ht="16" x14ac:dyDescent="0.2">
      <c r="A3" s="2">
        <v>67</v>
      </c>
      <c r="E3" s="2">
        <v>1</v>
      </c>
      <c r="G3" s="2">
        <v>9</v>
      </c>
      <c r="H3" s="2">
        <v>199</v>
      </c>
      <c r="N3" s="2">
        <v>1</v>
      </c>
      <c r="S3"/>
      <c r="T3"/>
    </row>
    <row r="4" spans="1:20" ht="16" x14ac:dyDescent="0.2">
      <c r="B4" s="2">
        <v>17</v>
      </c>
      <c r="H4" s="2">
        <v>7</v>
      </c>
      <c r="N4" s="2">
        <v>34</v>
      </c>
      <c r="S4"/>
      <c r="T4"/>
    </row>
    <row r="5" spans="1:20" ht="16" x14ac:dyDescent="0.2">
      <c r="A5" s="2">
        <v>23</v>
      </c>
      <c r="B5" s="2">
        <v>44</v>
      </c>
      <c r="H5" s="2">
        <v>116</v>
      </c>
      <c r="M5" s="2">
        <v>51</v>
      </c>
      <c r="N5" s="2">
        <v>2</v>
      </c>
      <c r="S5"/>
      <c r="T5"/>
    </row>
    <row r="6" spans="1:20" ht="16" x14ac:dyDescent="0.2">
      <c r="A6" s="2">
        <v>26</v>
      </c>
      <c r="B6" s="2">
        <v>18</v>
      </c>
      <c r="G6" s="2">
        <v>48</v>
      </c>
      <c r="H6" s="2">
        <v>128</v>
      </c>
      <c r="M6" s="2">
        <v>3</v>
      </c>
      <c r="N6" s="2">
        <v>109</v>
      </c>
      <c r="S6"/>
      <c r="T6"/>
    </row>
    <row r="7" spans="1:20" ht="16" x14ac:dyDescent="0.2">
      <c r="A7" s="2">
        <v>1311</v>
      </c>
      <c r="B7" s="2">
        <v>4689</v>
      </c>
      <c r="H7" s="2">
        <v>172</v>
      </c>
      <c r="M7" s="2">
        <v>4</v>
      </c>
      <c r="S7"/>
      <c r="T7"/>
    </row>
    <row r="8" spans="1:20" ht="16" x14ac:dyDescent="0.2">
      <c r="A8" s="2">
        <v>24</v>
      </c>
      <c r="B8" s="2">
        <v>1</v>
      </c>
      <c r="D8" s="3">
        <f>SUM(D3:D7)</f>
        <v>0</v>
      </c>
      <c r="E8" s="3">
        <f>SUM(E3:E7)</f>
        <v>1</v>
      </c>
      <c r="G8" s="2">
        <v>15</v>
      </c>
      <c r="M8" s="2">
        <v>135</v>
      </c>
      <c r="S8"/>
      <c r="T8"/>
    </row>
    <row r="9" spans="1:20" ht="16" x14ac:dyDescent="0.2">
      <c r="A9" s="2">
        <v>76</v>
      </c>
      <c r="B9" s="4"/>
      <c r="D9" s="5">
        <f>(D8*0.03)</f>
        <v>0</v>
      </c>
      <c r="E9" s="5">
        <f>(E8*0.09)</f>
        <v>0.09</v>
      </c>
      <c r="F9" s="2">
        <f>SUM(D9:E9)</f>
        <v>0.09</v>
      </c>
      <c r="G9" s="2">
        <v>478</v>
      </c>
      <c r="H9" s="2">
        <v>353</v>
      </c>
      <c r="N9" s="2">
        <v>5</v>
      </c>
      <c r="S9"/>
      <c r="T9"/>
    </row>
    <row r="10" spans="1:20" ht="16" x14ac:dyDescent="0.2">
      <c r="A10" s="2">
        <v>6</v>
      </c>
      <c r="B10" s="2">
        <v>8</v>
      </c>
      <c r="D10" s="6">
        <f>(D8*0.02)</f>
        <v>0</v>
      </c>
      <c r="E10" s="6">
        <f>(E8*0.02)</f>
        <v>0.02</v>
      </c>
      <c r="F10" s="2">
        <f>SUM(D10:E10)</f>
        <v>0.02</v>
      </c>
      <c r="G10" s="2">
        <v>42</v>
      </c>
      <c r="H10" s="2">
        <v>117</v>
      </c>
      <c r="M10" s="2">
        <v>776</v>
      </c>
      <c r="N10" s="2">
        <v>243</v>
      </c>
      <c r="S10"/>
      <c r="T10"/>
    </row>
    <row r="11" spans="1:20" ht="16" x14ac:dyDescent="0.2">
      <c r="S11"/>
      <c r="T11"/>
    </row>
    <row r="12" spans="1:20" ht="16" x14ac:dyDescent="0.2">
      <c r="S12"/>
      <c r="T12"/>
    </row>
    <row r="13" spans="1:20" ht="16" x14ac:dyDescent="0.2">
      <c r="S13"/>
      <c r="T13"/>
    </row>
    <row r="14" spans="1:20" ht="16" x14ac:dyDescent="0.2">
      <c r="D14" s="7"/>
      <c r="S14"/>
      <c r="T14"/>
    </row>
    <row r="15" spans="1:20" ht="16" x14ac:dyDescent="0.2">
      <c r="S15"/>
      <c r="T15"/>
    </row>
    <row r="16" spans="1:20" ht="16" x14ac:dyDescent="0.2">
      <c r="S16"/>
      <c r="T16"/>
    </row>
    <row r="17" spans="1:20" ht="16" x14ac:dyDescent="0.2">
      <c r="S17"/>
      <c r="T17"/>
    </row>
    <row r="18" spans="1:20" ht="16" x14ac:dyDescent="0.2">
      <c r="D18" s="3">
        <f>SUM(D15:D17)</f>
        <v>0</v>
      </c>
      <c r="E18" s="3">
        <f>SUM(E15:E17)</f>
        <v>0</v>
      </c>
      <c r="S18"/>
      <c r="T18"/>
    </row>
    <row r="19" spans="1:20" ht="16" x14ac:dyDescent="0.2">
      <c r="A19" s="3">
        <f>SUM(A3:A16)</f>
        <v>1533</v>
      </c>
      <c r="B19" s="3">
        <f>SUM(B3:B16)</f>
        <v>4777</v>
      </c>
      <c r="D19" s="5">
        <f>(D18*0.03)</f>
        <v>0</v>
      </c>
      <c r="E19" s="5">
        <f>(E18*0.09)</f>
        <v>0</v>
      </c>
      <c r="F19" s="2">
        <f>SUM(D19:E19)</f>
        <v>0</v>
      </c>
      <c r="G19" s="3">
        <f>SUM(G3:G18)</f>
        <v>592</v>
      </c>
      <c r="H19" s="3">
        <f>SUM(H3:H18)</f>
        <v>1092</v>
      </c>
      <c r="J19" s="3">
        <f>SUM(J3:J18)</f>
        <v>0</v>
      </c>
      <c r="K19" s="3">
        <f>SUM(K3:K18)</f>
        <v>0</v>
      </c>
      <c r="M19" s="3">
        <f>SUM(M3:M18)</f>
        <v>969</v>
      </c>
      <c r="N19" s="3">
        <f>SUM(N3:N18)</f>
        <v>394</v>
      </c>
      <c r="O19" s="3"/>
      <c r="S19"/>
      <c r="T19"/>
    </row>
    <row r="20" spans="1:20" ht="16" x14ac:dyDescent="0.2">
      <c r="A20" s="5">
        <f>(A19*0.03)</f>
        <v>45.989999999999995</v>
      </c>
      <c r="B20" s="5">
        <f>(B19*0.09)</f>
        <v>429.93</v>
      </c>
      <c r="C20" s="2">
        <f>SUM(A20:B20)</f>
        <v>475.92</v>
      </c>
      <c r="D20" s="6">
        <f>(D18*0.02)</f>
        <v>0</v>
      </c>
      <c r="E20" s="6">
        <f>(E18*0.02)</f>
        <v>0</v>
      </c>
      <c r="F20" s="2">
        <f>SUM(D20:E20)</f>
        <v>0</v>
      </c>
      <c r="G20" s="5">
        <f>(G19*0.03)</f>
        <v>17.759999999999998</v>
      </c>
      <c r="H20" s="5">
        <f>(H19*0.09)</f>
        <v>98.28</v>
      </c>
      <c r="I20" s="2">
        <f>SUM(G20:H20)</f>
        <v>116.03999999999999</v>
      </c>
      <c r="J20" s="5">
        <f>(J19*0.03)</f>
        <v>0</v>
      </c>
      <c r="K20" s="5">
        <f>(K19*0.09)</f>
        <v>0</v>
      </c>
      <c r="L20" s="2">
        <f>SUM(J20:K20)</f>
        <v>0</v>
      </c>
      <c r="M20" s="5">
        <f>(M19*0.03)</f>
        <v>29.07</v>
      </c>
      <c r="N20" s="5">
        <f>(N19*0.09)</f>
        <v>35.46</v>
      </c>
      <c r="O20" s="5"/>
      <c r="P20" s="2">
        <f>SUM(M20:N20)</f>
        <v>64.53</v>
      </c>
      <c r="S20"/>
      <c r="T20"/>
    </row>
    <row r="21" spans="1:20" ht="16" x14ac:dyDescent="0.2">
      <c r="A21" s="6">
        <f>(A19*0.02)</f>
        <v>30.66</v>
      </c>
      <c r="B21" s="6">
        <f>(B19*0.02)</f>
        <v>95.54</v>
      </c>
      <c r="C21" s="2">
        <f>SUM(A21:B21)</f>
        <v>126.2</v>
      </c>
      <c r="G21" s="6">
        <f>(G19*0.02)</f>
        <v>11.84</v>
      </c>
      <c r="H21" s="6">
        <f>(H19*0.02)</f>
        <v>21.84</v>
      </c>
      <c r="I21" s="2">
        <f>SUM(G21:H21)</f>
        <v>33.68</v>
      </c>
      <c r="J21" s="6">
        <f>(J19*0.02)</f>
        <v>0</v>
      </c>
      <c r="K21" s="6">
        <f>(K19*0.02)</f>
        <v>0</v>
      </c>
      <c r="L21" s="2">
        <f>SUM(J21:K21)</f>
        <v>0</v>
      </c>
      <c r="M21" s="6">
        <f>(M19*0.02)</f>
        <v>19.38</v>
      </c>
      <c r="N21" s="6">
        <f>(N19*0.02)</f>
        <v>7.88</v>
      </c>
      <c r="O21" s="6"/>
      <c r="P21" s="2">
        <f>SUM(M21:N21)</f>
        <v>27.259999999999998</v>
      </c>
      <c r="S21"/>
      <c r="T21"/>
    </row>
    <row r="22" spans="1:20" ht="16" x14ac:dyDescent="0.2">
      <c r="S22"/>
      <c r="T22"/>
    </row>
    <row r="24" spans="1:20" ht="14" x14ac:dyDescent="0.2">
      <c r="A24" s="1" t="s">
        <v>7</v>
      </c>
      <c r="B24" s="1"/>
      <c r="C24" s="1"/>
      <c r="D24" s="1" t="s">
        <v>8</v>
      </c>
      <c r="E24" s="1"/>
      <c r="F24" s="1"/>
      <c r="G24" s="1" t="s">
        <v>9</v>
      </c>
      <c r="H24" s="1"/>
      <c r="I24" s="1"/>
      <c r="J24" s="1" t="s">
        <v>10</v>
      </c>
      <c r="K24" s="1"/>
      <c r="L24" s="1"/>
      <c r="M24" s="1"/>
    </row>
    <row r="25" spans="1:20" ht="14" x14ac:dyDescent="0.2">
      <c r="A25" s="2" t="s">
        <v>11</v>
      </c>
      <c r="B25" s="2" t="s">
        <v>12</v>
      </c>
      <c r="D25" s="2" t="s">
        <v>11</v>
      </c>
      <c r="E25" s="2" t="s">
        <v>12</v>
      </c>
      <c r="G25" s="2" t="s">
        <v>11</v>
      </c>
      <c r="H25" s="2" t="s">
        <v>12</v>
      </c>
      <c r="J25" s="2" t="s">
        <v>11</v>
      </c>
      <c r="K25" s="2" t="s">
        <v>12</v>
      </c>
    </row>
    <row r="26" spans="1:20" ht="14" x14ac:dyDescent="0.2">
      <c r="A26" s="2">
        <v>28</v>
      </c>
      <c r="D26" s="2">
        <v>7</v>
      </c>
      <c r="E26" s="2">
        <v>10</v>
      </c>
      <c r="G26" s="2">
        <v>78</v>
      </c>
      <c r="H26" s="2">
        <v>708</v>
      </c>
      <c r="J26" s="2">
        <v>56</v>
      </c>
      <c r="K26" s="2">
        <v>27</v>
      </c>
      <c r="N26" s="2" t="s">
        <v>13</v>
      </c>
    </row>
    <row r="27" spans="1:20" ht="14" x14ac:dyDescent="0.2">
      <c r="A27" s="3">
        <f>SUM(A26:A26)</f>
        <v>28</v>
      </c>
      <c r="B27" s="3">
        <f>SUM(B26:B26)</f>
        <v>0</v>
      </c>
      <c r="D27" s="3">
        <f>SUM(D26:D26)</f>
        <v>7</v>
      </c>
      <c r="E27" s="3">
        <f>SUM(E26:E26)</f>
        <v>10</v>
      </c>
      <c r="G27" s="3">
        <f>SUM(G26:G26)</f>
        <v>78</v>
      </c>
      <c r="H27" s="3">
        <f>SUM(H26:H26)</f>
        <v>708</v>
      </c>
      <c r="J27" s="3">
        <f>SUM(J26:J26)</f>
        <v>56</v>
      </c>
      <c r="K27" s="3">
        <f>SUM(K26:K26)</f>
        <v>27</v>
      </c>
      <c r="N27" s="2" t="s">
        <v>14</v>
      </c>
    </row>
    <row r="28" spans="1:20" ht="28" x14ac:dyDescent="0.2">
      <c r="A28" s="5">
        <f>(A27*0.03)</f>
        <v>0.84</v>
      </c>
      <c r="B28" s="5">
        <f>(B27*0.09)</f>
        <v>0</v>
      </c>
      <c r="C28" s="2">
        <f>SUM(A28:B28)</f>
        <v>0.84</v>
      </c>
      <c r="D28" s="5">
        <f>(D27*0.03)</f>
        <v>0.21</v>
      </c>
      <c r="E28" s="5">
        <f>(E27*0.09)</f>
        <v>0.89999999999999991</v>
      </c>
      <c r="F28" s="2">
        <f>SUM(D28:E28)</f>
        <v>1.1099999999999999</v>
      </c>
      <c r="G28" s="5">
        <f>(G27*0.03)</f>
        <v>2.34</v>
      </c>
      <c r="H28" s="5">
        <f>(H27*0.09)</f>
        <v>63.72</v>
      </c>
      <c r="I28" s="2">
        <f>SUM(G28:H28)</f>
        <v>66.06</v>
      </c>
      <c r="J28" s="5">
        <f>(J27*0.03)</f>
        <v>1.68</v>
      </c>
      <c r="K28" s="5">
        <f>(K27*0.09)</f>
        <v>2.4299999999999997</v>
      </c>
      <c r="L28" s="2">
        <f>SUM(J28:K28)</f>
        <v>4.1099999999999994</v>
      </c>
      <c r="N28" s="2" t="s">
        <v>15</v>
      </c>
    </row>
    <row r="29" spans="1:20" x14ac:dyDescent="0.2">
      <c r="A29" s="6">
        <f>(A27*0.02)</f>
        <v>0.56000000000000005</v>
      </c>
      <c r="B29" s="6">
        <f>(B27*0.02)</f>
        <v>0</v>
      </c>
      <c r="C29" s="2">
        <f>SUM(A29:B29)</f>
        <v>0.56000000000000005</v>
      </c>
      <c r="D29" s="6">
        <f>(D27*0.02)</f>
        <v>0.14000000000000001</v>
      </c>
      <c r="E29" s="6">
        <f>(E27*0.02)</f>
        <v>0.2</v>
      </c>
      <c r="F29" s="2">
        <f>SUM(D29:E29)</f>
        <v>0.34</v>
      </c>
      <c r="G29" s="6">
        <f>(G27*0.02)</f>
        <v>1.56</v>
      </c>
      <c r="H29" s="6">
        <f>(H27*0.02)</f>
        <v>14.16</v>
      </c>
      <c r="I29" s="2">
        <f>SUM(G29:H29)</f>
        <v>15.72</v>
      </c>
      <c r="J29" s="6">
        <f>(J27*0.02)</f>
        <v>1.1200000000000001</v>
      </c>
      <c r="K29" s="6">
        <f>(K27*0.02)</f>
        <v>0.54</v>
      </c>
      <c r="L29" s="2">
        <f>SUM(J29:K29)</f>
        <v>1.6600000000000001</v>
      </c>
    </row>
    <row r="32" spans="1:20" ht="16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ht="16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ht="16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ht="16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ht="16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ht="16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 ht="16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ht="16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ht="16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ht="16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ht="16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ht="16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ht="16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ht="16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ht="16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ht="16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ht="16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ht="16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ht="16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ht="16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ht="16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ht="16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ht="16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ht="16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ht="16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16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ht="16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ht="16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ht="16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ht="16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ht="16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ht="16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ht="16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ht="16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ht="16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ht="16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ht="16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ht="16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ht="16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ht="16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ht="16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ht="16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ht="16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ht="16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ht="16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ht="16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ht="16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ht="16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ht="16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1:17" ht="16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1:17" ht="16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7" ht="16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 ht="16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7" ht="16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7" ht="16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ht="16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ht="16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ht="16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ht="16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ht="16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Cavanaugh</dc:creator>
  <cp:lastModifiedBy>Donna Cavanaugh</cp:lastModifiedBy>
  <dcterms:created xsi:type="dcterms:W3CDTF">2026-08-13T21:07:48Z</dcterms:created>
  <dcterms:modified xsi:type="dcterms:W3CDTF">2026-08-13T21:11:52Z</dcterms:modified>
</cp:coreProperties>
</file>